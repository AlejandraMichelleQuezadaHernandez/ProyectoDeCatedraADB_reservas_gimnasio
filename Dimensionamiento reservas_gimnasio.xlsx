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aedusv-my.sharepoint.com/personal/00066224_uca_edu_sv/Documents/Documentos/"/>
    </mc:Choice>
  </mc:AlternateContent>
  <xr:revisionPtr revIDLastSave="0" documentId="14_{F9AEC751-F137-4F05-A8CA-0BC79457ABBE}" xr6:coauthVersionLast="47" xr6:coauthVersionMax="47" xr10:uidLastSave="{00000000-0000-0000-0000-000000000000}"/>
  <bookViews>
    <workbookView xWindow="-108" yWindow="-108" windowWidth="23256" windowHeight="13896" activeTab="2" xr2:uid="{83FFB825-3697-40B2-BAA1-524CFF16AACB}"/>
  </bookViews>
  <sheets>
    <sheet name="Hoja2" sheetId="2" r:id="rId1"/>
    <sheet name="Hoja3" sheetId="3" r:id="rId2"/>
    <sheet name="Hoja1" sheetId="1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1" l="1"/>
  <c r="H39" i="1"/>
  <c r="C41" i="1"/>
  <c r="O28" i="1"/>
  <c r="J39" i="1"/>
  <c r="J27" i="1"/>
  <c r="I36" i="1"/>
  <c r="I39" i="1" s="1"/>
  <c r="D38" i="1"/>
  <c r="M28" i="1"/>
  <c r="N58" i="1"/>
  <c r="M61" i="1" s="1"/>
  <c r="N61" i="1" s="1"/>
  <c r="O61" i="1" s="1"/>
  <c r="N47" i="1"/>
  <c r="M50" i="1" s="1"/>
  <c r="N36" i="1"/>
  <c r="M39" i="1" s="1"/>
  <c r="N39" i="1" s="1"/>
  <c r="O39" i="1" s="1"/>
  <c r="N25" i="1"/>
  <c r="N9" i="1"/>
  <c r="M12" i="1" s="1"/>
  <c r="N12" i="1" s="1"/>
  <c r="O12" i="1" s="1"/>
  <c r="I24" i="1"/>
  <c r="H27" i="1" s="1"/>
  <c r="I27" i="1" s="1"/>
  <c r="I9" i="1"/>
  <c r="H12" i="1" s="1"/>
  <c r="D25" i="1"/>
  <c r="C28" i="1"/>
  <c r="E28" i="1" s="1"/>
  <c r="D9" i="1"/>
  <c r="C12" i="1" s="1"/>
  <c r="E41" i="1" l="1"/>
  <c r="D41" i="1"/>
  <c r="N28" i="1"/>
  <c r="N50" i="1"/>
  <c r="O50" i="1" s="1"/>
  <c r="I12" i="1"/>
  <c r="D28" i="1"/>
  <c r="D12" i="1"/>
  <c r="E12" i="1"/>
  <c r="R5" i="1" s="1"/>
</calcChain>
</file>

<file path=xl/sharedStrings.xml><?xml version="1.0" encoding="utf-8"?>
<sst xmlns="http://schemas.openxmlformats.org/spreadsheetml/2006/main" count="214" uniqueCount="60">
  <si>
    <t>id</t>
  </si>
  <si>
    <t>nombre</t>
  </si>
  <si>
    <t>apellido</t>
  </si>
  <si>
    <t>Campos</t>
  </si>
  <si>
    <t>tipo</t>
  </si>
  <si>
    <t>INT</t>
  </si>
  <si>
    <t>VARCHAR</t>
  </si>
  <si>
    <t>CHAR</t>
  </si>
  <si>
    <t>Bytes</t>
  </si>
  <si>
    <t>Tipo</t>
  </si>
  <si>
    <t>Total</t>
  </si>
  <si>
    <t>Cabecera de fila</t>
  </si>
  <si>
    <t>Dimensionamiento tabla Gestion Socio</t>
  </si>
  <si>
    <t xml:space="preserve">Total </t>
  </si>
  <si>
    <t>Tamaño en KB</t>
  </si>
  <si>
    <t>Tamaño en KB con indices</t>
  </si>
  <si>
    <t>Total por numero de filas en bytes</t>
  </si>
  <si>
    <t xml:space="preserve">Titulo </t>
  </si>
  <si>
    <t>Dimensionamiento tabla Pago</t>
  </si>
  <si>
    <t>titular</t>
  </si>
  <si>
    <t>fecha_pago</t>
  </si>
  <si>
    <t>num_tarjeta</t>
  </si>
  <si>
    <t>codigo_verificacion</t>
  </si>
  <si>
    <t>id_membresia</t>
  </si>
  <si>
    <t>fecha_vencimiento</t>
  </si>
  <si>
    <t>DATE</t>
  </si>
  <si>
    <t>cabecera de fila</t>
  </si>
  <si>
    <t>Dimensionamiento tabla Entrenador</t>
  </si>
  <si>
    <t>id_clase</t>
  </si>
  <si>
    <t>Dimensionamiento tabla Clase</t>
  </si>
  <si>
    <t>dia</t>
  </si>
  <si>
    <t>id_categoria</t>
  </si>
  <si>
    <t>id_espacio</t>
  </si>
  <si>
    <t>Dimensionamiento tabla Membresia</t>
  </si>
  <si>
    <t>fecha_inicio</t>
  </si>
  <si>
    <t>fecha_fin</t>
  </si>
  <si>
    <t>costo</t>
  </si>
  <si>
    <t>id_gestion_socio</t>
  </si>
  <si>
    <t>MONEY</t>
  </si>
  <si>
    <t>Dimensionamiento tabla Categoria</t>
  </si>
  <si>
    <t>descripcion</t>
  </si>
  <si>
    <t>Dimensionamiento tabla Espacio</t>
  </si>
  <si>
    <t>num_sala</t>
  </si>
  <si>
    <t>capacidad</t>
  </si>
  <si>
    <t>fecha_reserva</t>
  </si>
  <si>
    <t>hora_inicio</t>
  </si>
  <si>
    <t>hora_fin</t>
  </si>
  <si>
    <t>fecha_sesion</t>
  </si>
  <si>
    <t>estado</t>
  </si>
  <si>
    <t>DATETIME</t>
  </si>
  <si>
    <t>VARCHAR(100)</t>
  </si>
  <si>
    <t>Dimensionamiento tabla CategoriaXEspacio</t>
  </si>
  <si>
    <t>Dimensionamiento tabla GestionSocioXEntrenador</t>
  </si>
  <si>
    <t>id_entrenador</t>
  </si>
  <si>
    <t>Dimensionamiento tabla Reserva</t>
  </si>
  <si>
    <t>Dimensionamiento tabla GestionSocioXReserva</t>
  </si>
  <si>
    <t>id_reserva</t>
  </si>
  <si>
    <t>Tamaño de toda la base de datos</t>
  </si>
  <si>
    <t>telefono</t>
  </si>
  <si>
    <t>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</si>
</sst>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medium">
        <color theme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0" fillId="3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3" borderId="12" xfId="0" applyFill="1" applyBorder="1"/>
    <xf numFmtId="0" fontId="1" fillId="2" borderId="12" xfId="0" applyFont="1" applyFill="1" applyBorder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0" fontId="0" fillId="4" borderId="0" xfId="0" applyFill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e" refreshedDate="45975.845147569446" createdVersion="8" refreshedVersion="8" minRefreshableVersion="3" recordCount="7" xr:uid="{05A33332-6B0D-465B-975C-576D5F064E4D}">
  <cacheSource type="worksheet">
    <worksheetSource ref="B1:D9" sheet="Hoja1"/>
  </cacheSource>
  <cacheFields count="3">
    <cacheField name="Campos" numFmtId="0">
      <sharedItems containsBlank="1"/>
    </cacheField>
    <cacheField name="Tipo" numFmtId="0">
      <sharedItems containsBlank="1"/>
    </cacheField>
    <cacheField name="Bytes" numFmtId="0">
      <sharedItems containsSemiMixedTypes="0" containsString="0" containsNumber="1" containsInteger="1" minValue="4" maxValue="3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id"/>
    <s v="INT"/>
    <n v="4"/>
  </r>
  <r>
    <s v="nombre"/>
    <s v="VARCHAR"/>
    <n v="102"/>
  </r>
  <r>
    <s v="apellido"/>
    <s v="VARCHAR"/>
    <n v="102"/>
  </r>
  <r>
    <s v="telefono"/>
    <s v="CHAR"/>
    <n v="9"/>
  </r>
  <r>
    <s v="correo"/>
    <s v="VARCHAR"/>
    <n v="102"/>
  </r>
  <r>
    <s v="Cabecera de fila"/>
    <m/>
    <n v="7"/>
  </r>
  <r>
    <m/>
    <s v="Total"/>
    <n v="3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10FE1-2B18-4EF1-8B56-25229C54FCD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20" firstHeaderRow="1" firstDataRow="1" firstDataCol="0"/>
  <pivotFields count="3"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42B90D-CD2E-4FB3-B71B-D3126335A579}">
  <we:reference id="a3b40b4f-8edf-490e-9df1-7e66f93912bf" version="1.2.0.0" store="EXCatalog" storeType="EXCatalog"/>
  <we:alternateReferences>
    <we:reference id="WA104380526" version="1.2.0.0" store="es-E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8774-E567-4E7C-860F-56190F83BA62}">
  <dimension ref="A3:C20"/>
  <sheetViews>
    <sheetView workbookViewId="0">
      <selection activeCell="C33" sqref="C33"/>
    </sheetView>
  </sheetViews>
  <sheetFormatPr baseColWidth="10" defaultRowHeight="14.4" x14ac:dyDescent="0.3"/>
  <sheetData>
    <row r="3" spans="1:3" x14ac:dyDescent="0.3">
      <c r="A3" s="3"/>
      <c r="B3" s="4"/>
      <c r="C3" s="5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6"/>
      <c r="B18" s="7"/>
      <c r="C18" s="8"/>
    </row>
    <row r="19" spans="1:3" x14ac:dyDescent="0.3">
      <c r="A19" s="6"/>
      <c r="B19" s="7"/>
      <c r="C19" s="8"/>
    </row>
    <row r="20" spans="1:3" x14ac:dyDescent="0.3">
      <c r="A20" s="9"/>
      <c r="B20" s="10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45B77-443E-4D27-952B-BCB2DAE1795E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007AA-12F9-4A65-8D32-257B66B70EB5}">
  <dimension ref="B1:R61"/>
  <sheetViews>
    <sheetView tabSelected="1" topLeftCell="E1" zoomScale="98" workbookViewId="0">
      <selection activeCell="J27" sqref="J27"/>
    </sheetView>
  </sheetViews>
  <sheetFormatPr baseColWidth="10" defaultRowHeight="14.4" x14ac:dyDescent="0.3"/>
  <cols>
    <col min="1" max="1" width="6" bestFit="1" customWidth="1"/>
    <col min="2" max="2" width="33.109375" customWidth="1"/>
    <col min="3" max="3" width="29.33203125" bestFit="1" customWidth="1"/>
    <col min="4" max="4" width="12.6640625" bestFit="1" customWidth="1"/>
    <col min="5" max="5" width="22.88671875" bestFit="1" customWidth="1"/>
    <col min="7" max="7" width="31.77734375" customWidth="1"/>
    <col min="8" max="8" width="41.5546875" bestFit="1" customWidth="1"/>
    <col min="9" max="9" width="17.88671875" bestFit="1" customWidth="1"/>
    <col min="10" max="10" width="32.33203125" bestFit="1" customWidth="1"/>
    <col min="12" max="12" width="30.21875" customWidth="1"/>
    <col min="13" max="13" width="41.5546875" bestFit="1" customWidth="1"/>
    <col min="14" max="14" width="17.88671875" bestFit="1" customWidth="1"/>
    <col min="15" max="15" width="32.33203125" bestFit="1" customWidth="1"/>
    <col min="18" max="18" width="29.77734375" customWidth="1"/>
  </cols>
  <sheetData>
    <row r="1" spans="2:18" ht="15" thickBot="1" x14ac:dyDescent="0.35">
      <c r="B1" s="16" t="s">
        <v>12</v>
      </c>
      <c r="C1" s="16"/>
      <c r="D1" s="16"/>
      <c r="G1" s="16" t="s">
        <v>29</v>
      </c>
      <c r="H1" s="16"/>
      <c r="I1" s="16"/>
    </row>
    <row r="2" spans="2:18" ht="15" thickBot="1" x14ac:dyDescent="0.35">
      <c r="B2" s="13" t="s">
        <v>3</v>
      </c>
      <c r="C2" s="13" t="s">
        <v>9</v>
      </c>
      <c r="D2" s="13" t="s">
        <v>8</v>
      </c>
      <c r="G2" s="13" t="s">
        <v>3</v>
      </c>
      <c r="H2" s="13" t="s">
        <v>9</v>
      </c>
      <c r="I2" s="13" t="s">
        <v>8</v>
      </c>
    </row>
    <row r="3" spans="2:18" ht="15" thickBot="1" x14ac:dyDescent="0.35">
      <c r="B3" t="s">
        <v>0</v>
      </c>
      <c r="C3" t="s">
        <v>5</v>
      </c>
      <c r="D3">
        <v>4</v>
      </c>
      <c r="G3" t="s">
        <v>0</v>
      </c>
      <c r="H3" t="s">
        <v>5</v>
      </c>
      <c r="I3">
        <v>4</v>
      </c>
      <c r="L3" s="18" t="s">
        <v>41</v>
      </c>
      <c r="M3" s="18"/>
      <c r="N3" s="18"/>
    </row>
    <row r="4" spans="2:18" ht="15" thickBot="1" x14ac:dyDescent="0.35">
      <c r="B4" s="1" t="s">
        <v>1</v>
      </c>
      <c r="C4" s="1" t="s">
        <v>6</v>
      </c>
      <c r="D4" s="1">
        <v>102</v>
      </c>
      <c r="G4" s="1" t="s">
        <v>1</v>
      </c>
      <c r="H4" s="1" t="s">
        <v>6</v>
      </c>
      <c r="I4" s="1">
        <v>102</v>
      </c>
      <c r="L4" s="13" t="s">
        <v>3</v>
      </c>
      <c r="M4" s="13" t="s">
        <v>9</v>
      </c>
      <c r="N4" s="13" t="s">
        <v>8</v>
      </c>
      <c r="R4" s="14" t="s">
        <v>57</v>
      </c>
    </row>
    <row r="5" spans="2:18" ht="15" thickBot="1" x14ac:dyDescent="0.35">
      <c r="B5" t="s">
        <v>2</v>
      </c>
      <c r="C5" t="s">
        <v>6</v>
      </c>
      <c r="D5">
        <v>102</v>
      </c>
      <c r="G5" t="s">
        <v>30</v>
      </c>
      <c r="H5" t="s">
        <v>6</v>
      </c>
      <c r="I5">
        <v>22</v>
      </c>
      <c r="L5" t="s">
        <v>0</v>
      </c>
      <c r="M5" t="s">
        <v>5</v>
      </c>
      <c r="N5">
        <v>4</v>
      </c>
      <c r="R5" s="15">
        <f>E12+E28+E41+J12+J27+J39+O12+O28+O39+O50+O61</f>
        <v>3236.1122021484375</v>
      </c>
    </row>
    <row r="6" spans="2:18" x14ac:dyDescent="0.3">
      <c r="B6" s="17" t="s">
        <v>58</v>
      </c>
      <c r="C6" s="17" t="s">
        <v>7</v>
      </c>
      <c r="D6" s="17">
        <v>9</v>
      </c>
      <c r="G6" s="17" t="s">
        <v>31</v>
      </c>
      <c r="H6" s="17" t="s">
        <v>5</v>
      </c>
      <c r="I6" s="17">
        <v>4</v>
      </c>
      <c r="L6" s="1" t="s">
        <v>42</v>
      </c>
      <c r="M6" s="1" t="s">
        <v>5</v>
      </c>
      <c r="N6" s="1">
        <v>102</v>
      </c>
    </row>
    <row r="7" spans="2:18" x14ac:dyDescent="0.3">
      <c r="B7" t="s">
        <v>59</v>
      </c>
      <c r="C7" t="s">
        <v>6</v>
      </c>
      <c r="D7">
        <v>102</v>
      </c>
      <c r="G7" t="s">
        <v>32</v>
      </c>
      <c r="H7" t="s">
        <v>5</v>
      </c>
      <c r="I7">
        <v>4</v>
      </c>
      <c r="L7" t="s">
        <v>43</v>
      </c>
      <c r="M7" t="s">
        <v>5</v>
      </c>
      <c r="N7">
        <v>22</v>
      </c>
    </row>
    <row r="8" spans="2:18" x14ac:dyDescent="0.3">
      <c r="B8" s="1" t="s">
        <v>11</v>
      </c>
      <c r="C8" s="1"/>
      <c r="D8" s="1">
        <v>7</v>
      </c>
      <c r="G8" s="1" t="s">
        <v>26</v>
      </c>
      <c r="H8" s="1"/>
      <c r="I8" s="1">
        <v>7</v>
      </c>
      <c r="L8" s="1" t="s">
        <v>26</v>
      </c>
      <c r="M8" s="1"/>
      <c r="N8" s="1">
        <v>7</v>
      </c>
    </row>
    <row r="9" spans="2:18" ht="15" thickBot="1" x14ac:dyDescent="0.35">
      <c r="B9" s="12"/>
      <c r="C9" s="12" t="s">
        <v>10</v>
      </c>
      <c r="D9" s="12">
        <f>SUM(D3:D8)</f>
        <v>326</v>
      </c>
      <c r="G9" s="12"/>
      <c r="H9" s="12" t="s">
        <v>10</v>
      </c>
      <c r="I9" s="12">
        <f>SUM(I3:I8)</f>
        <v>143</v>
      </c>
      <c r="L9" s="12"/>
      <c r="M9" s="12" t="s">
        <v>10</v>
      </c>
      <c r="N9" s="12">
        <f>SUM(N5:N8)</f>
        <v>135</v>
      </c>
    </row>
    <row r="10" spans="2:18" ht="15" thickBot="1" x14ac:dyDescent="0.35"/>
    <row r="11" spans="2:18" ht="15" thickBot="1" x14ac:dyDescent="0.35">
      <c r="B11" s="14" t="s">
        <v>17</v>
      </c>
      <c r="C11" s="14" t="s">
        <v>16</v>
      </c>
      <c r="D11" s="14" t="s">
        <v>14</v>
      </c>
      <c r="E11" s="14" t="s">
        <v>15</v>
      </c>
      <c r="G11" s="14" t="s">
        <v>17</v>
      </c>
      <c r="H11" s="14" t="s">
        <v>16</v>
      </c>
      <c r="I11" s="14" t="s">
        <v>14</v>
      </c>
      <c r="J11" s="14" t="s">
        <v>15</v>
      </c>
      <c r="L11" s="14" t="s">
        <v>17</v>
      </c>
      <c r="M11" s="14" t="s">
        <v>16</v>
      </c>
      <c r="N11" s="14" t="s">
        <v>14</v>
      </c>
      <c r="O11" s="14" t="s">
        <v>15</v>
      </c>
    </row>
    <row r="12" spans="2:18" ht="15" thickBot="1" x14ac:dyDescent="0.35">
      <c r="B12" s="15" t="s">
        <v>13</v>
      </c>
      <c r="C12" s="15">
        <f>D9*1000</f>
        <v>326000</v>
      </c>
      <c r="D12" s="15">
        <f>C12/1024</f>
        <v>318.359375</v>
      </c>
      <c r="E12" s="15">
        <f>C12/1024</f>
        <v>318.359375</v>
      </c>
      <c r="G12" s="15" t="s">
        <v>13</v>
      </c>
      <c r="H12" s="15">
        <f>I9*10</f>
        <v>1430</v>
      </c>
      <c r="I12" s="15">
        <f>H12/1024</f>
        <v>1.396484375</v>
      </c>
      <c r="J12" s="15">
        <f>I12*1.3</f>
        <v>1.8154296875</v>
      </c>
      <c r="L12" s="15" t="s">
        <v>13</v>
      </c>
      <c r="M12" s="15">
        <f>N9*10</f>
        <v>1350</v>
      </c>
      <c r="N12" s="15">
        <f>M12/1024</f>
        <v>1.318359375</v>
      </c>
      <c r="O12" s="15">
        <f>N12</f>
        <v>1.318359375</v>
      </c>
    </row>
    <row r="14" spans="2:18" ht="15" thickBot="1" x14ac:dyDescent="0.35"/>
    <row r="15" spans="2:18" ht="15" thickBot="1" x14ac:dyDescent="0.35">
      <c r="B15" s="18" t="s">
        <v>18</v>
      </c>
      <c r="C15" s="18"/>
      <c r="D15" s="18"/>
      <c r="G15" s="18" t="s">
        <v>33</v>
      </c>
      <c r="H15" s="18"/>
      <c r="I15" s="18"/>
      <c r="L15" s="18" t="s">
        <v>54</v>
      </c>
      <c r="M15" s="18"/>
      <c r="N15" s="18"/>
    </row>
    <row r="16" spans="2:18" x14ac:dyDescent="0.3">
      <c r="B16" s="13" t="s">
        <v>3</v>
      </c>
      <c r="C16" s="13" t="s">
        <v>9</v>
      </c>
      <c r="D16" s="13" t="s">
        <v>8</v>
      </c>
      <c r="G16" s="13" t="s">
        <v>3</v>
      </c>
      <c r="H16" s="13" t="s">
        <v>9</v>
      </c>
      <c r="I16" s="13" t="s">
        <v>8</v>
      </c>
      <c r="L16" s="13" t="s">
        <v>3</v>
      </c>
      <c r="M16" s="13" t="s">
        <v>9</v>
      </c>
      <c r="N16" s="13" t="s">
        <v>8</v>
      </c>
    </row>
    <row r="17" spans="2:15" x14ac:dyDescent="0.3">
      <c r="B17" t="s">
        <v>0</v>
      </c>
      <c r="C17" t="s">
        <v>5</v>
      </c>
      <c r="D17">
        <v>4</v>
      </c>
      <c r="G17" t="s">
        <v>0</v>
      </c>
      <c r="H17" t="s">
        <v>5</v>
      </c>
      <c r="I17">
        <v>4</v>
      </c>
      <c r="L17" t="s">
        <v>0</v>
      </c>
      <c r="M17" t="s">
        <v>5</v>
      </c>
      <c r="N17">
        <v>4</v>
      </c>
    </row>
    <row r="18" spans="2:15" x14ac:dyDescent="0.3">
      <c r="B18" s="1" t="s">
        <v>19</v>
      </c>
      <c r="C18" s="1" t="s">
        <v>6</v>
      </c>
      <c r="D18" s="1">
        <v>102</v>
      </c>
      <c r="G18" s="1" t="s">
        <v>4</v>
      </c>
      <c r="H18" s="1" t="s">
        <v>6</v>
      </c>
      <c r="I18" s="1">
        <v>22</v>
      </c>
      <c r="L18" s="1" t="s">
        <v>44</v>
      </c>
      <c r="M18" s="1" t="s">
        <v>25</v>
      </c>
      <c r="N18" s="1">
        <v>3</v>
      </c>
    </row>
    <row r="19" spans="2:15" x14ac:dyDescent="0.3">
      <c r="B19" t="s">
        <v>20</v>
      </c>
      <c r="C19" t="s">
        <v>25</v>
      </c>
      <c r="D19">
        <v>3</v>
      </c>
      <c r="G19" t="s">
        <v>34</v>
      </c>
      <c r="H19" t="s">
        <v>25</v>
      </c>
      <c r="I19">
        <v>3</v>
      </c>
      <c r="L19" t="s">
        <v>45</v>
      </c>
      <c r="M19" t="s">
        <v>49</v>
      </c>
      <c r="N19">
        <v>8</v>
      </c>
    </row>
    <row r="20" spans="2:15" x14ac:dyDescent="0.3">
      <c r="B20" s="1" t="s">
        <v>21</v>
      </c>
      <c r="C20" s="1" t="s">
        <v>6</v>
      </c>
      <c r="D20" s="1">
        <v>22</v>
      </c>
      <c r="G20" s="1" t="s">
        <v>35</v>
      </c>
      <c r="H20" s="1" t="s">
        <v>25</v>
      </c>
      <c r="I20" s="1">
        <v>3</v>
      </c>
      <c r="L20" s="1" t="s">
        <v>46</v>
      </c>
      <c r="M20" s="1" t="s">
        <v>49</v>
      </c>
      <c r="N20" s="1">
        <v>8</v>
      </c>
    </row>
    <row r="21" spans="2:15" x14ac:dyDescent="0.3">
      <c r="B21" t="s">
        <v>24</v>
      </c>
      <c r="C21" t="s">
        <v>25</v>
      </c>
      <c r="D21">
        <v>3</v>
      </c>
      <c r="G21" t="s">
        <v>36</v>
      </c>
      <c r="H21" t="s">
        <v>38</v>
      </c>
      <c r="I21">
        <v>8</v>
      </c>
      <c r="L21" t="s">
        <v>47</v>
      </c>
      <c r="M21" t="s">
        <v>25</v>
      </c>
      <c r="N21">
        <v>3</v>
      </c>
    </row>
    <row r="22" spans="2:15" x14ac:dyDescent="0.3">
      <c r="B22" s="1" t="s">
        <v>22</v>
      </c>
      <c r="C22" s="1" t="s">
        <v>7</v>
      </c>
      <c r="D22" s="1">
        <v>6</v>
      </c>
      <c r="G22" s="1" t="s">
        <v>37</v>
      </c>
      <c r="H22" s="1" t="s">
        <v>5</v>
      </c>
      <c r="I22" s="1">
        <v>4</v>
      </c>
      <c r="L22" s="1" t="s">
        <v>48</v>
      </c>
      <c r="M22" s="1" t="s">
        <v>50</v>
      </c>
      <c r="N22" s="1">
        <v>102</v>
      </c>
    </row>
    <row r="23" spans="2:15" x14ac:dyDescent="0.3">
      <c r="B23" t="s">
        <v>23</v>
      </c>
      <c r="C23" t="s">
        <v>5</v>
      </c>
      <c r="D23">
        <v>4</v>
      </c>
      <c r="G23" s="1" t="s">
        <v>26</v>
      </c>
      <c r="H23" s="1"/>
      <c r="I23" s="1">
        <v>7</v>
      </c>
      <c r="L23" t="s">
        <v>28</v>
      </c>
      <c r="M23" t="s">
        <v>5</v>
      </c>
      <c r="N23">
        <v>4</v>
      </c>
    </row>
    <row r="24" spans="2:15" ht="15" thickBot="1" x14ac:dyDescent="0.35">
      <c r="B24" s="1" t="s">
        <v>26</v>
      </c>
      <c r="C24" s="1"/>
      <c r="D24" s="1">
        <v>7</v>
      </c>
      <c r="G24" s="12"/>
      <c r="H24" s="12" t="s">
        <v>10</v>
      </c>
      <c r="I24" s="12">
        <f>SUM(I17:I23)</f>
        <v>51</v>
      </c>
      <c r="L24" s="1" t="s">
        <v>26</v>
      </c>
      <c r="M24" s="1"/>
      <c r="N24" s="1">
        <v>7</v>
      </c>
    </row>
    <row r="25" spans="2:15" ht="15" thickBot="1" x14ac:dyDescent="0.35">
      <c r="B25" s="12"/>
      <c r="C25" s="12" t="s">
        <v>10</v>
      </c>
      <c r="D25" s="12">
        <f>SUM(D17:D24)</f>
        <v>151</v>
      </c>
      <c r="L25" s="12"/>
      <c r="M25" s="12" t="s">
        <v>10</v>
      </c>
      <c r="N25" s="12">
        <f>SUM(N17:N24)</f>
        <v>139</v>
      </c>
    </row>
    <row r="26" spans="2:15" ht="15" thickBot="1" x14ac:dyDescent="0.35">
      <c r="G26" s="14" t="s">
        <v>17</v>
      </c>
      <c r="H26" s="14" t="s">
        <v>16</v>
      </c>
      <c r="I26" s="14" t="s">
        <v>14</v>
      </c>
      <c r="J26" s="14" t="s">
        <v>15</v>
      </c>
    </row>
    <row r="27" spans="2:15" ht="15" thickBot="1" x14ac:dyDescent="0.35">
      <c r="B27" s="14" t="s">
        <v>17</v>
      </c>
      <c r="C27" s="14" t="s">
        <v>16</v>
      </c>
      <c r="D27" s="14" t="s">
        <v>14</v>
      </c>
      <c r="E27" s="14" t="s">
        <v>15</v>
      </c>
      <c r="G27" s="15" t="s">
        <v>13</v>
      </c>
      <c r="H27" s="15">
        <f>I24*1000</f>
        <v>51000</v>
      </c>
      <c r="I27" s="15">
        <f>H27/1024</f>
        <v>49.8046875</v>
      </c>
      <c r="J27" s="15">
        <f>I27*1.3</f>
        <v>64.74609375</v>
      </c>
      <c r="L27" s="14" t="s">
        <v>17</v>
      </c>
      <c r="M27" s="14" t="s">
        <v>16</v>
      </c>
      <c r="N27" s="14" t="s">
        <v>14</v>
      </c>
      <c r="O27" s="14" t="s">
        <v>15</v>
      </c>
    </row>
    <row r="28" spans="2:15" ht="15" thickBot="1" x14ac:dyDescent="0.35">
      <c r="B28" s="15" t="s">
        <v>13</v>
      </c>
      <c r="C28" s="15">
        <f>D23*1000</f>
        <v>4000</v>
      </c>
      <c r="D28" s="15">
        <f>C28/1024</f>
        <v>3.90625</v>
      </c>
      <c r="E28" s="15">
        <f>C28/1024</f>
        <v>3.90625</v>
      </c>
      <c r="L28" s="15" t="s">
        <v>13</v>
      </c>
      <c r="M28" s="15">
        <f>N25*50</f>
        <v>6950</v>
      </c>
      <c r="N28" s="15">
        <f>M28/1024</f>
        <v>6.787109375</v>
      </c>
      <c r="O28" s="15">
        <f>N28*1.3*1.3*1.3*1.3</f>
        <v>19.3846630859375</v>
      </c>
    </row>
    <row r="29" spans="2:15" ht="15" thickBot="1" x14ac:dyDescent="0.35"/>
    <row r="30" spans="2:15" ht="15" thickBot="1" x14ac:dyDescent="0.35">
      <c r="G30" s="18" t="s">
        <v>39</v>
      </c>
      <c r="H30" s="18"/>
      <c r="I30" s="18"/>
    </row>
    <row r="31" spans="2:15" ht="15" thickBot="1" x14ac:dyDescent="0.35">
      <c r="B31" s="18" t="s">
        <v>27</v>
      </c>
      <c r="C31" s="18"/>
      <c r="D31" s="18"/>
      <c r="G31" s="13" t="s">
        <v>3</v>
      </c>
      <c r="H31" s="13" t="s">
        <v>9</v>
      </c>
      <c r="I31" s="13" t="s">
        <v>8</v>
      </c>
      <c r="L31" s="18" t="s">
        <v>51</v>
      </c>
      <c r="M31" s="18"/>
      <c r="N31" s="18"/>
    </row>
    <row r="32" spans="2:15" x14ac:dyDescent="0.3">
      <c r="B32" s="13" t="s">
        <v>3</v>
      </c>
      <c r="C32" s="13" t="s">
        <v>9</v>
      </c>
      <c r="D32" s="13" t="s">
        <v>8</v>
      </c>
      <c r="G32" t="s">
        <v>0</v>
      </c>
      <c r="H32" t="s">
        <v>5</v>
      </c>
      <c r="I32">
        <v>4</v>
      </c>
      <c r="L32" s="13" t="s">
        <v>3</v>
      </c>
      <c r="M32" s="13" t="s">
        <v>9</v>
      </c>
      <c r="N32" s="13" t="s">
        <v>8</v>
      </c>
    </row>
    <row r="33" spans="2:15" x14ac:dyDescent="0.3">
      <c r="B33" t="s">
        <v>0</v>
      </c>
      <c r="C33" t="s">
        <v>5</v>
      </c>
      <c r="D33">
        <v>4</v>
      </c>
      <c r="G33" s="1" t="s">
        <v>1</v>
      </c>
      <c r="H33" s="1" t="s">
        <v>6</v>
      </c>
      <c r="I33" s="1">
        <v>102</v>
      </c>
      <c r="L33" t="s">
        <v>31</v>
      </c>
      <c r="M33" t="s">
        <v>5</v>
      </c>
      <c r="N33">
        <v>4</v>
      </c>
    </row>
    <row r="34" spans="2:15" x14ac:dyDescent="0.3">
      <c r="B34" s="1" t="s">
        <v>1</v>
      </c>
      <c r="C34" s="1" t="s">
        <v>6</v>
      </c>
      <c r="D34" s="1">
        <v>102</v>
      </c>
      <c r="G34" t="s">
        <v>40</v>
      </c>
      <c r="H34" t="s">
        <v>6</v>
      </c>
      <c r="I34">
        <v>102</v>
      </c>
      <c r="L34" s="1" t="s">
        <v>32</v>
      </c>
      <c r="M34" s="1" t="s">
        <v>5</v>
      </c>
      <c r="N34" s="1">
        <v>4</v>
      </c>
    </row>
    <row r="35" spans="2:15" x14ac:dyDescent="0.3">
      <c r="B35" t="s">
        <v>2</v>
      </c>
      <c r="C35" t="s">
        <v>6</v>
      </c>
      <c r="D35">
        <v>102</v>
      </c>
      <c r="G35" s="1" t="s">
        <v>26</v>
      </c>
      <c r="H35" s="1"/>
      <c r="I35" s="1">
        <v>7</v>
      </c>
      <c r="L35" s="1" t="s">
        <v>26</v>
      </c>
      <c r="M35" s="1"/>
      <c r="N35" s="1">
        <v>7</v>
      </c>
    </row>
    <row r="36" spans="2:15" ht="15" thickBot="1" x14ac:dyDescent="0.35">
      <c r="B36" s="1" t="s">
        <v>28</v>
      </c>
      <c r="C36" s="1" t="s">
        <v>5</v>
      </c>
      <c r="D36" s="1">
        <v>4</v>
      </c>
      <c r="G36" s="12"/>
      <c r="H36" s="12" t="s">
        <v>10</v>
      </c>
      <c r="I36" s="12">
        <f>SUM(I32:I35)</f>
        <v>215</v>
      </c>
      <c r="L36" s="12"/>
      <c r="M36" s="12" t="s">
        <v>10</v>
      </c>
      <c r="N36" s="12">
        <f>SUM(N33:N35)</f>
        <v>15</v>
      </c>
    </row>
    <row r="37" spans="2:15" ht="15" thickBot="1" x14ac:dyDescent="0.35">
      <c r="B37" t="s">
        <v>26</v>
      </c>
      <c r="D37">
        <v>7</v>
      </c>
    </row>
    <row r="38" spans="2:15" ht="15" thickBot="1" x14ac:dyDescent="0.35">
      <c r="B38" s="2"/>
      <c r="C38" s="2" t="s">
        <v>10</v>
      </c>
      <c r="D38" s="2">
        <f>SUM(D33:D37)</f>
        <v>219</v>
      </c>
      <c r="G38" s="14" t="s">
        <v>17</v>
      </c>
      <c r="H38" s="14" t="s">
        <v>16</v>
      </c>
      <c r="I38" s="14" t="s">
        <v>14</v>
      </c>
      <c r="J38" s="14" t="s">
        <v>15</v>
      </c>
      <c r="L38" s="14" t="s">
        <v>17</v>
      </c>
      <c r="M38" s="14" t="s">
        <v>16</v>
      </c>
      <c r="N38" s="14" t="s">
        <v>14</v>
      </c>
      <c r="O38" s="14" t="s">
        <v>15</v>
      </c>
    </row>
    <row r="39" spans="2:15" ht="15" thickBot="1" x14ac:dyDescent="0.35">
      <c r="G39" s="15" t="s">
        <v>13</v>
      </c>
      <c r="H39" s="15">
        <f>I36*10</f>
        <v>2150</v>
      </c>
      <c r="I39" s="15">
        <f>H39/1024</f>
        <v>2.099609375</v>
      </c>
      <c r="J39" s="15">
        <f>H39*1.3</f>
        <v>2795</v>
      </c>
      <c r="L39" s="15" t="s">
        <v>13</v>
      </c>
      <c r="M39" s="15">
        <f>N36*10</f>
        <v>150</v>
      </c>
      <c r="N39" s="15">
        <f>M39/1024</f>
        <v>0.146484375</v>
      </c>
      <c r="O39" s="15">
        <f>N39</f>
        <v>0.146484375</v>
      </c>
    </row>
    <row r="40" spans="2:15" ht="15" thickBot="1" x14ac:dyDescent="0.35">
      <c r="B40" s="14" t="s">
        <v>17</v>
      </c>
      <c r="C40" s="14" t="s">
        <v>16</v>
      </c>
      <c r="D40" s="14" t="s">
        <v>14</v>
      </c>
      <c r="E40" s="14" t="s">
        <v>15</v>
      </c>
    </row>
    <row r="41" spans="2:15" ht="15" thickBot="1" x14ac:dyDescent="0.35">
      <c r="B41" s="15" t="s">
        <v>13</v>
      </c>
      <c r="C41" s="15">
        <f>D38*10</f>
        <v>2190</v>
      </c>
      <c r="D41" s="15">
        <f>C41/1024</f>
        <v>2.138671875</v>
      </c>
      <c r="E41" s="15">
        <f>C41/1024</f>
        <v>2.138671875</v>
      </c>
    </row>
    <row r="42" spans="2:15" ht="15" thickBot="1" x14ac:dyDescent="0.35">
      <c r="L42" s="18" t="s">
        <v>52</v>
      </c>
      <c r="M42" s="18"/>
      <c r="N42" s="18"/>
    </row>
    <row r="43" spans="2:15" x14ac:dyDescent="0.3">
      <c r="L43" s="13" t="s">
        <v>3</v>
      </c>
      <c r="M43" s="13" t="s">
        <v>9</v>
      </c>
      <c r="N43" s="13" t="s">
        <v>8</v>
      </c>
    </row>
    <row r="44" spans="2:15" x14ac:dyDescent="0.3">
      <c r="L44" t="s">
        <v>37</v>
      </c>
      <c r="M44" t="s">
        <v>5</v>
      </c>
      <c r="N44">
        <v>4</v>
      </c>
    </row>
    <row r="45" spans="2:15" x14ac:dyDescent="0.3">
      <c r="L45" s="1" t="s">
        <v>53</v>
      </c>
      <c r="M45" s="1" t="s">
        <v>5</v>
      </c>
      <c r="N45" s="1">
        <v>4</v>
      </c>
    </row>
    <row r="46" spans="2:15" x14ac:dyDescent="0.3">
      <c r="L46" s="1" t="s">
        <v>26</v>
      </c>
      <c r="M46" s="1"/>
      <c r="N46" s="1">
        <v>7</v>
      </c>
    </row>
    <row r="47" spans="2:15" ht="15" thickBot="1" x14ac:dyDescent="0.35">
      <c r="L47" s="12"/>
      <c r="M47" s="12" t="s">
        <v>10</v>
      </c>
      <c r="N47" s="12">
        <f>SUM(N44:N46)</f>
        <v>15</v>
      </c>
    </row>
    <row r="48" spans="2:15" ht="15" thickBot="1" x14ac:dyDescent="0.35"/>
    <row r="49" spans="12:15" ht="15" thickBot="1" x14ac:dyDescent="0.35">
      <c r="L49" s="14" t="s">
        <v>17</v>
      </c>
      <c r="M49" s="14" t="s">
        <v>16</v>
      </c>
      <c r="N49" s="14" t="s">
        <v>14</v>
      </c>
      <c r="O49" s="14" t="s">
        <v>15</v>
      </c>
    </row>
    <row r="50" spans="12:15" ht="15" thickBot="1" x14ac:dyDescent="0.35">
      <c r="L50" s="15" t="s">
        <v>13</v>
      </c>
      <c r="M50" s="15">
        <f>N47*1000</f>
        <v>15000</v>
      </c>
      <c r="N50" s="15">
        <f>M50/1024</f>
        <v>14.6484375</v>
      </c>
      <c r="O50" s="15">
        <f>N50</f>
        <v>14.6484375</v>
      </c>
    </row>
    <row r="52" spans="12:15" ht="15" thickBot="1" x14ac:dyDescent="0.35"/>
    <row r="53" spans="12:15" ht="15" thickBot="1" x14ac:dyDescent="0.35">
      <c r="L53" s="18" t="s">
        <v>55</v>
      </c>
      <c r="M53" s="18"/>
      <c r="N53" s="18"/>
    </row>
    <row r="54" spans="12:15" x14ac:dyDescent="0.3">
      <c r="L54" s="13" t="s">
        <v>3</v>
      </c>
      <c r="M54" s="13" t="s">
        <v>9</v>
      </c>
      <c r="N54" s="13" t="s">
        <v>8</v>
      </c>
    </row>
    <row r="55" spans="12:15" x14ac:dyDescent="0.3">
      <c r="L55" t="s">
        <v>37</v>
      </c>
      <c r="M55" t="s">
        <v>5</v>
      </c>
      <c r="N55">
        <v>4</v>
      </c>
    </row>
    <row r="56" spans="12:15" x14ac:dyDescent="0.3">
      <c r="L56" s="1" t="s">
        <v>56</v>
      </c>
      <c r="M56" s="1" t="s">
        <v>5</v>
      </c>
      <c r="N56" s="1">
        <v>4</v>
      </c>
    </row>
    <row r="57" spans="12:15" x14ac:dyDescent="0.3">
      <c r="L57" s="1" t="s">
        <v>26</v>
      </c>
      <c r="M57" s="1"/>
      <c r="N57" s="1">
        <v>7</v>
      </c>
    </row>
    <row r="58" spans="12:15" ht="15" thickBot="1" x14ac:dyDescent="0.35">
      <c r="L58" s="12"/>
      <c r="M58" s="12" t="s">
        <v>10</v>
      </c>
      <c r="N58" s="12">
        <f>SUM(N55:N57)</f>
        <v>15</v>
      </c>
    </row>
    <row r="59" spans="12:15" ht="15" thickBot="1" x14ac:dyDescent="0.35"/>
    <row r="60" spans="12:15" ht="15" thickBot="1" x14ac:dyDescent="0.35">
      <c r="L60" s="14" t="s">
        <v>17</v>
      </c>
      <c r="M60" s="14" t="s">
        <v>16</v>
      </c>
      <c r="N60" s="14" t="s">
        <v>14</v>
      </c>
      <c r="O60" s="14" t="s">
        <v>15</v>
      </c>
    </row>
    <row r="61" spans="12:15" ht="15" thickBot="1" x14ac:dyDescent="0.35">
      <c r="L61" s="15" t="s">
        <v>13</v>
      </c>
      <c r="M61" s="15">
        <f>N58*1000</f>
        <v>15000</v>
      </c>
      <c r="N61" s="15">
        <f>M61/1024</f>
        <v>14.6484375</v>
      </c>
      <c r="O61" s="15">
        <f>N61</f>
        <v>14.6484375</v>
      </c>
    </row>
  </sheetData>
  <mergeCells count="9">
    <mergeCell ref="L42:N42"/>
    <mergeCell ref="L53:N53"/>
    <mergeCell ref="B15:D15"/>
    <mergeCell ref="B31:D31"/>
    <mergeCell ref="G15:I15"/>
    <mergeCell ref="G30:I30"/>
    <mergeCell ref="L3:N3"/>
    <mergeCell ref="L15:N15"/>
    <mergeCell ref="L31:N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Hoja2</vt:lpstr>
      <vt:lpstr>Hoja3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MICHELLE QUEZADA HERNANDEZ</dc:creator>
  <cp:lastModifiedBy>ALEJANDRA MICHELLE QUEZADA HERNANDEZ</cp:lastModifiedBy>
  <dcterms:created xsi:type="dcterms:W3CDTF">2025-11-15T01:48:23Z</dcterms:created>
  <dcterms:modified xsi:type="dcterms:W3CDTF">2025-11-27T16:39:00Z</dcterms:modified>
</cp:coreProperties>
</file>